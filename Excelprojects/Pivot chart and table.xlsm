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029b84c6719c73c/Desktop/html projects/Excelprojects/"/>
    </mc:Choice>
  </mc:AlternateContent>
  <xr:revisionPtr revIDLastSave="0" documentId="8_{4137D404-A62D-40F9-9A1C-CA473204894E}" xr6:coauthVersionLast="47" xr6:coauthVersionMax="47" xr10:uidLastSave="{00000000-0000-0000-0000-000000000000}"/>
  <bookViews>
    <workbookView xWindow="-108" yWindow="-108" windowWidth="23256" windowHeight="12456" firstSheet="1" activeTab="1" xr2:uid="{3AC37CA3-C663-40C9-A185-6DABE1D45552}"/>
  </bookViews>
  <sheets>
    <sheet name="MACROS" sheetId="1" r:id="rId1"/>
    <sheet name=" MACROS 2" sheetId="2" r:id="rId2"/>
    <sheet name="MACROS 3" sheetId="3" r:id="rId3"/>
    <sheet name="ADVANCE FILTER" sheetId="4" r:id="rId4"/>
    <sheet name="PIVOT CHART 2" sheetId="7" r:id="rId5"/>
    <sheet name="PIVOT CHART" sheetId="6" r:id="rId6"/>
    <sheet name="CUSTOM SORT" sheetId="8" r:id="rId7"/>
  </sheets>
  <definedNames>
    <definedName name="_xlnm._FilterDatabase" localSheetId="3" hidden="1">'ADVANCE FILTER'!$A$4:$H$9</definedName>
    <definedName name="_xlnm.Criteria" localSheetId="3">'ADVANCE FILTER'!$L$8:$L$9</definedName>
    <definedName name="_xlnm.Extract" localSheetId="3">'ADVANCE FILTER'!$R$17:$Y$17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4" l="1"/>
  <c r="H6" i="4" s="1"/>
  <c r="G7" i="4"/>
  <c r="H7" i="4" s="1"/>
  <c r="G8" i="4"/>
  <c r="H8" i="4" s="1"/>
  <c r="G9" i="4"/>
  <c r="H9" i="4" s="1"/>
  <c r="G5" i="4"/>
  <c r="H5" i="4" s="1"/>
</calcChain>
</file>

<file path=xl/sharedStrings.xml><?xml version="1.0" encoding="utf-8"?>
<sst xmlns="http://schemas.openxmlformats.org/spreadsheetml/2006/main" count="167" uniqueCount="67">
  <si>
    <t>NAME</t>
  </si>
  <si>
    <t>COMPANY</t>
  </si>
  <si>
    <t>SALARY</t>
  </si>
  <si>
    <t>JOINING DATE</t>
  </si>
  <si>
    <t>DESIGNATION</t>
  </si>
  <si>
    <t>TOTAL SALARY</t>
  </si>
  <si>
    <t>ANUSHREE</t>
  </si>
  <si>
    <t>ASTHA</t>
  </si>
  <si>
    <t>POOJA</t>
  </si>
  <si>
    <t>SHALINI</t>
  </si>
  <si>
    <t>ADITYA</t>
  </si>
  <si>
    <t>SHREY</t>
  </si>
  <si>
    <t>RAJESH</t>
  </si>
  <si>
    <t>HCL</t>
  </si>
  <si>
    <t>HR</t>
  </si>
  <si>
    <t>CONSULTANT</t>
  </si>
  <si>
    <t>ACCOUNTANT</t>
  </si>
  <si>
    <t>CA</t>
  </si>
  <si>
    <t>MACROS</t>
  </si>
  <si>
    <t>S.NO</t>
  </si>
  <si>
    <t>TOTAL</t>
  </si>
  <si>
    <t>PERCENTAGE</t>
  </si>
  <si>
    <t>AYUSH</t>
  </si>
  <si>
    <t>AYUSHI</t>
  </si>
  <si>
    <t>ARPIT</t>
  </si>
  <si>
    <t>ARPITA</t>
  </si>
  <si>
    <t>PRANJAL</t>
  </si>
  <si>
    <t>MATHS</t>
  </si>
  <si>
    <t>ENGLISH</t>
  </si>
  <si>
    <t>HINDI</t>
  </si>
  <si>
    <t>SCIENCE</t>
  </si>
  <si>
    <t>ADVANCE FILTER</t>
  </si>
  <si>
    <t>CRITERIA</t>
  </si>
  <si>
    <t>&gt;90</t>
  </si>
  <si>
    <t>PRODUCT NAME</t>
  </si>
  <si>
    <t>APRIL SALES</t>
  </si>
  <si>
    <t>SOAP</t>
  </si>
  <si>
    <t>SHOES</t>
  </si>
  <si>
    <t>CHIPS</t>
  </si>
  <si>
    <t>TORCH LIGHT</t>
  </si>
  <si>
    <t>CHOCOLATE</t>
  </si>
  <si>
    <t>CREAM</t>
  </si>
  <si>
    <t>PIVOT CHARTS</t>
  </si>
  <si>
    <t>BISCUIT</t>
  </si>
  <si>
    <t>BROOM</t>
  </si>
  <si>
    <t>TABLE</t>
  </si>
  <si>
    <t>JANUARY SALES</t>
  </si>
  <si>
    <t>MARCH SALES</t>
  </si>
  <si>
    <t>NOVEMBER SALES</t>
  </si>
  <si>
    <t>Row Labels</t>
  </si>
  <si>
    <t>Grand Total</t>
  </si>
  <si>
    <t>Sum of JANUARY SALES</t>
  </si>
  <si>
    <t>Sum of MARCH SALES</t>
  </si>
  <si>
    <t>Sum of APRIL SALES</t>
  </si>
  <si>
    <t>Sum of NOVEMBER SALES</t>
  </si>
  <si>
    <t>JANUARY</t>
  </si>
  <si>
    <t>NOVEMBER</t>
  </si>
  <si>
    <t>DECEMBER</t>
  </si>
  <si>
    <t>APRIL</t>
  </si>
  <si>
    <t>FEBURARY</t>
  </si>
  <si>
    <t>MARCH</t>
  </si>
  <si>
    <t>MAY</t>
  </si>
  <si>
    <t>JUNE</t>
  </si>
  <si>
    <t>JULY</t>
  </si>
  <si>
    <t>AUGUST</t>
  </si>
  <si>
    <t>SEPTEMBER</t>
  </si>
  <si>
    <t>OCTOBER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</si>
</sst>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applyFont="1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chart and table.xlsm]PIVOT CHART 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CHART 2'!$B$1</c:f>
              <c:strCache>
                <c:ptCount val="1"/>
                <c:pt idx="0">
                  <c:v>Sum of JANUARY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2'!$A$2:$A$11</c:f>
              <c:strCache>
                <c:ptCount val="9"/>
                <c:pt idx="0">
                  <c:v>BISCUIT</c:v>
                </c:pt>
                <c:pt idx="1">
                  <c:v>BROOM</c:v>
                </c:pt>
                <c:pt idx="2">
                  <c:v>CHIPS</c:v>
                </c:pt>
                <c:pt idx="3">
                  <c:v>CHOCOLATE</c:v>
                </c:pt>
                <c:pt idx="4">
                  <c:v>CREAM</c:v>
                </c:pt>
                <c:pt idx="5">
                  <c:v>SHOES</c:v>
                </c:pt>
                <c:pt idx="6">
                  <c:v>SOAP</c:v>
                </c:pt>
                <c:pt idx="7">
                  <c:v>TABLE</c:v>
                </c:pt>
                <c:pt idx="8">
                  <c:v>TORCH LIGHT</c:v>
                </c:pt>
              </c:strCache>
            </c:strRef>
          </c:cat>
          <c:val>
            <c:numRef>
              <c:f>'PIVOT CHART 2'!$B$2:$B$11</c:f>
              <c:numCache>
                <c:formatCode>General</c:formatCode>
                <c:ptCount val="9"/>
                <c:pt idx="0">
                  <c:v>450</c:v>
                </c:pt>
                <c:pt idx="1">
                  <c:v>500</c:v>
                </c:pt>
                <c:pt idx="2">
                  <c:v>250</c:v>
                </c:pt>
                <c:pt idx="3">
                  <c:v>350</c:v>
                </c:pt>
                <c:pt idx="4">
                  <c:v>400</c:v>
                </c:pt>
                <c:pt idx="5">
                  <c:v>200</c:v>
                </c:pt>
                <c:pt idx="6">
                  <c:v>150</c:v>
                </c:pt>
                <c:pt idx="7">
                  <c:v>550</c:v>
                </c:pt>
                <c:pt idx="8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8-4FFC-BB77-837A78683676}"/>
            </c:ext>
          </c:extLst>
        </c:ser>
        <c:ser>
          <c:idx val="1"/>
          <c:order val="1"/>
          <c:tx>
            <c:strRef>
              <c:f>'PIVOT CHART 2'!$C$1</c:f>
              <c:strCache>
                <c:ptCount val="1"/>
                <c:pt idx="0">
                  <c:v>Sum of MARCH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2'!$A$2:$A$11</c:f>
              <c:strCache>
                <c:ptCount val="9"/>
                <c:pt idx="0">
                  <c:v>BISCUIT</c:v>
                </c:pt>
                <c:pt idx="1">
                  <c:v>BROOM</c:v>
                </c:pt>
                <c:pt idx="2">
                  <c:v>CHIPS</c:v>
                </c:pt>
                <c:pt idx="3">
                  <c:v>CHOCOLATE</c:v>
                </c:pt>
                <c:pt idx="4">
                  <c:v>CREAM</c:v>
                </c:pt>
                <c:pt idx="5">
                  <c:v>SHOES</c:v>
                </c:pt>
                <c:pt idx="6">
                  <c:v>SOAP</c:v>
                </c:pt>
                <c:pt idx="7">
                  <c:v>TABLE</c:v>
                </c:pt>
                <c:pt idx="8">
                  <c:v>TORCH LIGHT</c:v>
                </c:pt>
              </c:strCache>
            </c:strRef>
          </c:cat>
          <c:val>
            <c:numRef>
              <c:f>'PIVOT CHART 2'!$C$2:$C$11</c:f>
              <c:numCache>
                <c:formatCode>General</c:formatCode>
                <c:ptCount val="9"/>
                <c:pt idx="0">
                  <c:v>325</c:v>
                </c:pt>
                <c:pt idx="1">
                  <c:v>370</c:v>
                </c:pt>
                <c:pt idx="2">
                  <c:v>145</c:v>
                </c:pt>
                <c:pt idx="3">
                  <c:v>235</c:v>
                </c:pt>
                <c:pt idx="4">
                  <c:v>280</c:v>
                </c:pt>
                <c:pt idx="5">
                  <c:v>100</c:v>
                </c:pt>
                <c:pt idx="6">
                  <c:v>50</c:v>
                </c:pt>
                <c:pt idx="7">
                  <c:v>415</c:v>
                </c:pt>
                <c:pt idx="8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E8-4FFC-BB77-837A78683676}"/>
            </c:ext>
          </c:extLst>
        </c:ser>
        <c:ser>
          <c:idx val="2"/>
          <c:order val="2"/>
          <c:tx>
            <c:strRef>
              <c:f>'PIVOT CHART 2'!$D$1</c:f>
              <c:strCache>
                <c:ptCount val="1"/>
                <c:pt idx="0">
                  <c:v>Sum of APRIL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2'!$A$2:$A$11</c:f>
              <c:strCache>
                <c:ptCount val="9"/>
                <c:pt idx="0">
                  <c:v>BISCUIT</c:v>
                </c:pt>
                <c:pt idx="1">
                  <c:v>BROOM</c:v>
                </c:pt>
                <c:pt idx="2">
                  <c:v>CHIPS</c:v>
                </c:pt>
                <c:pt idx="3">
                  <c:v>CHOCOLATE</c:v>
                </c:pt>
                <c:pt idx="4">
                  <c:v>CREAM</c:v>
                </c:pt>
                <c:pt idx="5">
                  <c:v>SHOES</c:v>
                </c:pt>
                <c:pt idx="6">
                  <c:v>SOAP</c:v>
                </c:pt>
                <c:pt idx="7">
                  <c:v>TABLE</c:v>
                </c:pt>
                <c:pt idx="8">
                  <c:v>TORCH LIGHT</c:v>
                </c:pt>
              </c:strCache>
            </c:strRef>
          </c:cat>
          <c:val>
            <c:numRef>
              <c:f>'PIVOT CHART 2'!$D$2:$D$11</c:f>
              <c:numCache>
                <c:formatCode>General</c:formatCode>
                <c:ptCount val="9"/>
                <c:pt idx="0">
                  <c:v>680</c:v>
                </c:pt>
                <c:pt idx="1">
                  <c:v>760</c:v>
                </c:pt>
                <c:pt idx="2">
                  <c:v>360</c:v>
                </c:pt>
                <c:pt idx="3">
                  <c:v>520</c:v>
                </c:pt>
                <c:pt idx="4">
                  <c:v>600</c:v>
                </c:pt>
                <c:pt idx="5">
                  <c:v>280</c:v>
                </c:pt>
                <c:pt idx="6">
                  <c:v>200</c:v>
                </c:pt>
                <c:pt idx="7">
                  <c:v>840</c:v>
                </c:pt>
                <c:pt idx="8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E8-4FFC-BB77-837A78683676}"/>
            </c:ext>
          </c:extLst>
        </c:ser>
        <c:ser>
          <c:idx val="3"/>
          <c:order val="3"/>
          <c:tx>
            <c:strRef>
              <c:f>'PIVOT CHART 2'!$E$1</c:f>
              <c:strCache>
                <c:ptCount val="1"/>
                <c:pt idx="0">
                  <c:v>Sum of NOVEMBER SALES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2'!$A$2:$A$11</c:f>
              <c:strCache>
                <c:ptCount val="9"/>
                <c:pt idx="0">
                  <c:v>BISCUIT</c:v>
                </c:pt>
                <c:pt idx="1">
                  <c:v>BROOM</c:v>
                </c:pt>
                <c:pt idx="2">
                  <c:v>CHIPS</c:v>
                </c:pt>
                <c:pt idx="3">
                  <c:v>CHOCOLATE</c:v>
                </c:pt>
                <c:pt idx="4">
                  <c:v>CREAM</c:v>
                </c:pt>
                <c:pt idx="5">
                  <c:v>SHOES</c:v>
                </c:pt>
                <c:pt idx="6">
                  <c:v>SOAP</c:v>
                </c:pt>
                <c:pt idx="7">
                  <c:v>TABLE</c:v>
                </c:pt>
                <c:pt idx="8">
                  <c:v>TORCH LIGHT</c:v>
                </c:pt>
              </c:strCache>
            </c:strRef>
          </c:cat>
          <c:val>
            <c:numRef>
              <c:f>'PIVOT CHART 2'!$E$2:$E$11</c:f>
              <c:numCache>
                <c:formatCode>General</c:formatCode>
                <c:ptCount val="9"/>
                <c:pt idx="0">
                  <c:v>1300</c:v>
                </c:pt>
                <c:pt idx="1">
                  <c:v>1400</c:v>
                </c:pt>
                <c:pt idx="2">
                  <c:v>900</c:v>
                </c:pt>
                <c:pt idx="3">
                  <c:v>1100</c:v>
                </c:pt>
                <c:pt idx="4">
                  <c:v>1200</c:v>
                </c:pt>
                <c:pt idx="5">
                  <c:v>800</c:v>
                </c:pt>
                <c:pt idx="6">
                  <c:v>700</c:v>
                </c:pt>
                <c:pt idx="7">
                  <c:v>1500</c:v>
                </c:pt>
                <c:pt idx="8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E8-4FFC-BB77-837A78683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694383"/>
        <c:axId val="1473678063"/>
      </c:barChart>
      <c:catAx>
        <c:axId val="1473694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678063"/>
        <c:crosses val="autoZero"/>
        <c:auto val="1"/>
        <c:lblAlgn val="ctr"/>
        <c:lblOffset val="100"/>
        <c:noMultiLvlLbl val="0"/>
      </c:catAx>
      <c:valAx>
        <c:axId val="147367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69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1</xdr:row>
      <xdr:rowOff>121920</xdr:rowOff>
    </xdr:from>
    <xdr:to>
      <xdr:col>14</xdr:col>
      <xdr:colOff>510540</xdr:colOff>
      <xdr:row>16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D0D1EE-5F92-5409-2049-283992C4E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shree Vasisth" refreshedDate="45874.580605439813" createdVersion="8" refreshedVersion="8" minRefreshableVersion="3" recordCount="9" xr:uid="{C90D49AA-6E5C-4A96-81D3-EAB8836277C7}">
  <cacheSource type="worksheet">
    <worksheetSource ref="A3:E12" sheet="PIVOT CHART"/>
  </cacheSource>
  <cacheFields count="5">
    <cacheField name="PRODUCT NAME" numFmtId="0">
      <sharedItems count="9">
        <s v="SOAP"/>
        <s v="SHOES"/>
        <s v="CHIPS"/>
        <s v="TORCH LIGHT"/>
        <s v="CHOCOLATE"/>
        <s v="CREAM"/>
        <s v="BISCUIT"/>
        <s v="BROOM"/>
        <s v="TABLE"/>
      </sharedItems>
    </cacheField>
    <cacheField name="JANUARY SALES" numFmtId="0">
      <sharedItems containsSemiMixedTypes="0" containsString="0" containsNumber="1" containsInteger="1" minValue="150" maxValue="550"/>
    </cacheField>
    <cacheField name="MARCH SALES" numFmtId="0">
      <sharedItems containsSemiMixedTypes="0" containsString="0" containsNumber="1" containsInteger="1" minValue="50" maxValue="415"/>
    </cacheField>
    <cacheField name="APRIL SALES" numFmtId="0">
      <sharedItems containsSemiMixedTypes="0" containsString="0" containsNumber="1" containsInteger="1" minValue="200" maxValue="840"/>
    </cacheField>
    <cacheField name="NOVEMBER SALES" numFmtId="0">
      <sharedItems containsSemiMixedTypes="0" containsString="0" containsNumber="1" containsInteger="1" minValue="70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150"/>
    <n v="50"/>
    <n v="200"/>
    <n v="700"/>
  </r>
  <r>
    <x v="1"/>
    <n v="200"/>
    <n v="100"/>
    <n v="280"/>
    <n v="800"/>
  </r>
  <r>
    <x v="2"/>
    <n v="250"/>
    <n v="145"/>
    <n v="360"/>
    <n v="900"/>
  </r>
  <r>
    <x v="3"/>
    <n v="300"/>
    <n v="190"/>
    <n v="440"/>
    <n v="1000"/>
  </r>
  <r>
    <x v="4"/>
    <n v="350"/>
    <n v="235"/>
    <n v="520"/>
    <n v="1100"/>
  </r>
  <r>
    <x v="5"/>
    <n v="400"/>
    <n v="280"/>
    <n v="600"/>
    <n v="1200"/>
  </r>
  <r>
    <x v="6"/>
    <n v="450"/>
    <n v="325"/>
    <n v="680"/>
    <n v="1300"/>
  </r>
  <r>
    <x v="7"/>
    <n v="500"/>
    <n v="370"/>
    <n v="760"/>
    <n v="1400"/>
  </r>
  <r>
    <x v="8"/>
    <n v="550"/>
    <n v="415"/>
    <n v="840"/>
    <n v="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AAEAF-C21D-4AD4-A886-9331A8B1924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E11" firstHeaderRow="0" firstDataRow="1" firstDataCol="1"/>
  <pivotFields count="5">
    <pivotField axis="axisRow" showAll="0">
      <items count="10">
        <item x="6"/>
        <item x="7"/>
        <item x="2"/>
        <item x="4"/>
        <item x="5"/>
        <item x="1"/>
        <item x="0"/>
        <item x="8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JANUARY SALES" fld="1" baseField="0" baseItem="0"/>
    <dataField name="Sum of MARCH SALES" fld="2" baseField="0" baseItem="0"/>
    <dataField name="Sum of APRIL SALES" fld="3" baseField="0" baseItem="0"/>
    <dataField name="Sum of NOVEMBER SALES" fld="4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CE31-488B-4CB1-8C73-0F8D282CD592}">
  <dimension ref="A1:F11"/>
  <sheetViews>
    <sheetView workbookViewId="0">
      <selection activeCell="G8" sqref="G8"/>
    </sheetView>
  </sheetViews>
  <sheetFormatPr defaultRowHeight="14.4" x14ac:dyDescent="0.3"/>
  <cols>
    <col min="1" max="1" width="12.33203125" customWidth="1"/>
    <col min="2" max="2" width="13.77734375" customWidth="1"/>
    <col min="3" max="3" width="11.44140625" customWidth="1"/>
    <col min="4" max="4" width="16.77734375" customWidth="1"/>
    <col min="5" max="5" width="14.88671875" customWidth="1"/>
    <col min="6" max="6" width="15.5546875" customWidth="1"/>
  </cols>
  <sheetData>
    <row r="1" spans="1:6" x14ac:dyDescent="0.3">
      <c r="A1" s="8" t="s">
        <v>18</v>
      </c>
      <c r="B1" s="8"/>
      <c r="C1" s="8"/>
      <c r="D1" s="8"/>
      <c r="E1" s="8"/>
      <c r="F1" s="8"/>
    </row>
    <row r="2" spans="1:6" x14ac:dyDescent="0.3">
      <c r="A2" s="8"/>
      <c r="B2" s="8"/>
      <c r="C2" s="8"/>
      <c r="D2" s="8"/>
      <c r="E2" s="8"/>
      <c r="F2" s="8"/>
    </row>
    <row r="4" spans="1:6" ht="15.6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</row>
    <row r="5" spans="1:6" ht="15.6" x14ac:dyDescent="0.3">
      <c r="A5" s="1" t="s">
        <v>6</v>
      </c>
      <c r="B5" s="1" t="s">
        <v>13</v>
      </c>
      <c r="C5" s="1">
        <v>100000</v>
      </c>
      <c r="D5" s="2">
        <v>45332</v>
      </c>
      <c r="E5" s="1" t="s">
        <v>14</v>
      </c>
      <c r="F5" s="1">
        <v>100000</v>
      </c>
    </row>
    <row r="6" spans="1:6" ht="15.6" x14ac:dyDescent="0.3">
      <c r="A6" s="1" t="s">
        <v>7</v>
      </c>
      <c r="B6" s="1" t="s">
        <v>13</v>
      </c>
      <c r="C6" s="1">
        <v>110050</v>
      </c>
      <c r="D6" s="2">
        <v>45371</v>
      </c>
      <c r="E6" s="1" t="s">
        <v>15</v>
      </c>
      <c r="F6" s="1">
        <v>110050</v>
      </c>
    </row>
    <row r="7" spans="1:6" ht="15.6" x14ac:dyDescent="0.3">
      <c r="A7" s="1" t="s">
        <v>9</v>
      </c>
      <c r="B7" s="1" t="s">
        <v>13</v>
      </c>
      <c r="C7" s="1">
        <v>120100</v>
      </c>
      <c r="D7" s="2">
        <v>45410</v>
      </c>
      <c r="E7" s="1" t="s">
        <v>16</v>
      </c>
      <c r="F7" s="1">
        <v>120100</v>
      </c>
    </row>
    <row r="8" spans="1:6" ht="15.6" x14ac:dyDescent="0.3">
      <c r="A8" s="1" t="s">
        <v>8</v>
      </c>
      <c r="B8" s="1" t="s">
        <v>13</v>
      </c>
      <c r="C8" s="1">
        <v>130150</v>
      </c>
      <c r="D8" s="2">
        <v>45449</v>
      </c>
      <c r="E8" s="1" t="s">
        <v>14</v>
      </c>
      <c r="F8" s="1">
        <v>130150</v>
      </c>
    </row>
    <row r="9" spans="1:6" ht="15.6" x14ac:dyDescent="0.3">
      <c r="A9" s="1" t="s">
        <v>10</v>
      </c>
      <c r="B9" s="1" t="s">
        <v>13</v>
      </c>
      <c r="C9" s="1">
        <v>140200</v>
      </c>
      <c r="D9" s="2">
        <v>45488</v>
      </c>
      <c r="E9" s="1" t="s">
        <v>17</v>
      </c>
      <c r="F9" s="1">
        <v>140200</v>
      </c>
    </row>
    <row r="10" spans="1:6" ht="15.6" x14ac:dyDescent="0.3">
      <c r="A10" s="1" t="s">
        <v>11</v>
      </c>
      <c r="B10" s="1" t="s">
        <v>13</v>
      </c>
      <c r="C10" s="1">
        <v>150250</v>
      </c>
      <c r="D10" s="2">
        <v>45527</v>
      </c>
      <c r="E10" s="1" t="s">
        <v>16</v>
      </c>
      <c r="F10" s="1">
        <v>150250</v>
      </c>
    </row>
    <row r="11" spans="1:6" ht="15.6" x14ac:dyDescent="0.3">
      <c r="A11" s="1" t="s">
        <v>12</v>
      </c>
      <c r="B11" s="1" t="s">
        <v>13</v>
      </c>
      <c r="C11" s="1">
        <v>160300</v>
      </c>
      <c r="D11" s="2">
        <v>45566</v>
      </c>
      <c r="E11" s="1" t="s">
        <v>14</v>
      </c>
      <c r="F11" s="1">
        <v>160300</v>
      </c>
    </row>
  </sheetData>
  <mergeCells count="1">
    <mergeCell ref="A1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72C9-D82B-4EFC-9894-C68A3E5449E2}">
  <dimension ref="A1:F11"/>
  <sheetViews>
    <sheetView tabSelected="1" workbookViewId="0">
      <selection activeCell="G19" sqref="G19"/>
    </sheetView>
  </sheetViews>
  <sheetFormatPr defaultRowHeight="14.4" x14ac:dyDescent="0.3"/>
  <cols>
    <col min="1" max="1" width="12.33203125" customWidth="1"/>
    <col min="2" max="2" width="13.77734375" customWidth="1"/>
    <col min="3" max="3" width="11.44140625" customWidth="1"/>
    <col min="4" max="4" width="16.77734375" customWidth="1"/>
    <col min="5" max="5" width="14.88671875" customWidth="1"/>
    <col min="6" max="6" width="15.5546875" customWidth="1"/>
  </cols>
  <sheetData>
    <row r="1" spans="1:6" x14ac:dyDescent="0.3">
      <c r="A1" s="9" t="s">
        <v>18</v>
      </c>
      <c r="B1" s="9"/>
      <c r="C1" s="9"/>
      <c r="D1" s="9"/>
      <c r="E1" s="9"/>
      <c r="F1" s="9"/>
    </row>
    <row r="2" spans="1:6" x14ac:dyDescent="0.3">
      <c r="A2" s="9"/>
      <c r="B2" s="9"/>
      <c r="C2" s="9"/>
      <c r="D2" s="9"/>
      <c r="E2" s="9"/>
      <c r="F2" s="9"/>
    </row>
    <row r="4" spans="1:6" ht="15.6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</row>
    <row r="5" spans="1:6" ht="15.6" x14ac:dyDescent="0.3">
      <c r="A5" s="1" t="s">
        <v>6</v>
      </c>
      <c r="B5" s="1" t="s">
        <v>13</v>
      </c>
      <c r="C5" s="1">
        <v>100000</v>
      </c>
      <c r="D5" s="2">
        <v>45332</v>
      </c>
      <c r="E5" s="1" t="s">
        <v>14</v>
      </c>
      <c r="F5" s="1">
        <v>100000</v>
      </c>
    </row>
    <row r="6" spans="1:6" ht="15.6" x14ac:dyDescent="0.3">
      <c r="A6" s="1" t="s">
        <v>7</v>
      </c>
      <c r="B6" s="1" t="s">
        <v>13</v>
      </c>
      <c r="C6" s="1">
        <v>110050</v>
      </c>
      <c r="D6" s="2">
        <v>45371</v>
      </c>
      <c r="E6" s="1" t="s">
        <v>15</v>
      </c>
      <c r="F6" s="1">
        <v>110050</v>
      </c>
    </row>
    <row r="7" spans="1:6" ht="15.6" x14ac:dyDescent="0.3">
      <c r="A7" s="1" t="s">
        <v>9</v>
      </c>
      <c r="B7" s="1" t="s">
        <v>13</v>
      </c>
      <c r="C7" s="1">
        <v>120100</v>
      </c>
      <c r="D7" s="2">
        <v>45410</v>
      </c>
      <c r="E7" s="1" t="s">
        <v>16</v>
      </c>
      <c r="F7" s="1">
        <v>120100</v>
      </c>
    </row>
    <row r="8" spans="1:6" ht="15.6" x14ac:dyDescent="0.3">
      <c r="A8" s="1" t="s">
        <v>8</v>
      </c>
      <c r="B8" s="1" t="s">
        <v>13</v>
      </c>
      <c r="C8" s="1">
        <v>130150</v>
      </c>
      <c r="D8" s="2">
        <v>45449</v>
      </c>
      <c r="E8" s="1" t="s">
        <v>14</v>
      </c>
      <c r="F8" s="1">
        <v>130150</v>
      </c>
    </row>
    <row r="9" spans="1:6" ht="15.6" x14ac:dyDescent="0.3">
      <c r="A9" s="1" t="s">
        <v>10</v>
      </c>
      <c r="B9" s="1" t="s">
        <v>13</v>
      </c>
      <c r="C9" s="1">
        <v>140200</v>
      </c>
      <c r="D9" s="2">
        <v>45488</v>
      </c>
      <c r="E9" s="1" t="s">
        <v>17</v>
      </c>
      <c r="F9" s="1">
        <v>140200</v>
      </c>
    </row>
    <row r="10" spans="1:6" ht="15.6" x14ac:dyDescent="0.3">
      <c r="A10" s="1" t="s">
        <v>11</v>
      </c>
      <c r="B10" s="1" t="s">
        <v>13</v>
      </c>
      <c r="C10" s="1">
        <v>150250</v>
      </c>
      <c r="D10" s="2">
        <v>45527</v>
      </c>
      <c r="E10" s="1" t="s">
        <v>16</v>
      </c>
      <c r="F10" s="1">
        <v>150250</v>
      </c>
    </row>
    <row r="11" spans="1:6" ht="15.6" x14ac:dyDescent="0.3">
      <c r="A11" s="1" t="s">
        <v>12</v>
      </c>
      <c r="B11" s="1" t="s">
        <v>13</v>
      </c>
      <c r="C11" s="1">
        <v>160300</v>
      </c>
      <c r="D11" s="2">
        <v>45566</v>
      </c>
      <c r="E11" s="1" t="s">
        <v>14</v>
      </c>
      <c r="F11" s="1">
        <v>160300</v>
      </c>
    </row>
  </sheetData>
  <mergeCells count="1">
    <mergeCell ref="A1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E5-FAEC-4FDC-8380-04E907E48433}">
  <dimension ref="A1:F11"/>
  <sheetViews>
    <sheetView workbookViewId="0">
      <selection activeCell="G8" sqref="G8"/>
    </sheetView>
  </sheetViews>
  <sheetFormatPr defaultRowHeight="14.4" x14ac:dyDescent="0.3"/>
  <cols>
    <col min="1" max="1" width="12.33203125" customWidth="1"/>
    <col min="2" max="2" width="13.77734375" customWidth="1"/>
    <col min="3" max="3" width="11.44140625" customWidth="1"/>
    <col min="4" max="4" width="16.77734375" customWidth="1"/>
    <col min="5" max="5" width="14.88671875" customWidth="1"/>
    <col min="6" max="6" width="15.5546875" customWidth="1"/>
  </cols>
  <sheetData>
    <row r="1" spans="1:6" x14ac:dyDescent="0.3">
      <c r="A1" s="9" t="s">
        <v>18</v>
      </c>
      <c r="B1" s="9"/>
      <c r="C1" s="9"/>
      <c r="D1" s="9"/>
      <c r="E1" s="9"/>
      <c r="F1" s="9"/>
    </row>
    <row r="2" spans="1:6" x14ac:dyDescent="0.3">
      <c r="A2" s="9"/>
      <c r="B2" s="9"/>
      <c r="C2" s="9"/>
      <c r="D2" s="9"/>
      <c r="E2" s="9"/>
      <c r="F2" s="9"/>
    </row>
    <row r="4" spans="1:6" ht="15.6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</row>
    <row r="5" spans="1:6" ht="15.6" x14ac:dyDescent="0.3">
      <c r="A5" s="1" t="s">
        <v>6</v>
      </c>
      <c r="B5" s="1" t="s">
        <v>13</v>
      </c>
      <c r="C5" s="1">
        <v>100000</v>
      </c>
      <c r="D5" s="2">
        <v>45332</v>
      </c>
      <c r="E5" s="1" t="s">
        <v>14</v>
      </c>
      <c r="F5" s="1">
        <v>100000</v>
      </c>
    </row>
    <row r="6" spans="1:6" ht="15.6" x14ac:dyDescent="0.3">
      <c r="A6" s="1" t="s">
        <v>7</v>
      </c>
      <c r="B6" s="1" t="s">
        <v>13</v>
      </c>
      <c r="C6" s="1">
        <v>110050</v>
      </c>
      <c r="D6" s="2">
        <v>45371</v>
      </c>
      <c r="E6" s="1" t="s">
        <v>15</v>
      </c>
      <c r="F6" s="1">
        <v>110050</v>
      </c>
    </row>
    <row r="7" spans="1:6" ht="15.6" x14ac:dyDescent="0.3">
      <c r="A7" s="1" t="s">
        <v>9</v>
      </c>
      <c r="B7" s="1" t="s">
        <v>13</v>
      </c>
      <c r="C7" s="1">
        <v>120100</v>
      </c>
      <c r="D7" s="2">
        <v>45410</v>
      </c>
      <c r="E7" s="1" t="s">
        <v>16</v>
      </c>
      <c r="F7" s="1">
        <v>120100</v>
      </c>
    </row>
    <row r="8" spans="1:6" ht="15.6" x14ac:dyDescent="0.3">
      <c r="A8" s="1" t="s">
        <v>8</v>
      </c>
      <c r="B8" s="1" t="s">
        <v>13</v>
      </c>
      <c r="C8" s="1">
        <v>130150</v>
      </c>
      <c r="D8" s="2">
        <v>45449</v>
      </c>
      <c r="E8" s="1" t="s">
        <v>14</v>
      </c>
      <c r="F8" s="1">
        <v>130150</v>
      </c>
    </row>
    <row r="9" spans="1:6" ht="15.6" x14ac:dyDescent="0.3">
      <c r="A9" s="1" t="s">
        <v>10</v>
      </c>
      <c r="B9" s="1" t="s">
        <v>13</v>
      </c>
      <c r="C9" s="1">
        <v>140200</v>
      </c>
      <c r="D9" s="2">
        <v>45488</v>
      </c>
      <c r="E9" s="1" t="s">
        <v>17</v>
      </c>
      <c r="F9" s="1">
        <v>140200</v>
      </c>
    </row>
    <row r="10" spans="1:6" ht="15.6" x14ac:dyDescent="0.3">
      <c r="A10" s="1" t="s">
        <v>11</v>
      </c>
      <c r="B10" s="1" t="s">
        <v>13</v>
      </c>
      <c r="C10" s="1">
        <v>150250</v>
      </c>
      <c r="D10" s="2">
        <v>45527</v>
      </c>
      <c r="E10" s="1" t="s">
        <v>16</v>
      </c>
      <c r="F10" s="1">
        <v>150250</v>
      </c>
    </row>
    <row r="11" spans="1:6" ht="15.6" x14ac:dyDescent="0.3">
      <c r="A11" s="1" t="s">
        <v>12</v>
      </c>
      <c r="B11" s="1" t="s">
        <v>13</v>
      </c>
      <c r="C11" s="1">
        <v>160300</v>
      </c>
      <c r="D11" s="2">
        <v>45566</v>
      </c>
      <c r="E11" s="1" t="s">
        <v>14</v>
      </c>
      <c r="F11" s="1">
        <v>160300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4A4F-9680-49BE-9EF9-6F177E9E336F}">
  <dimension ref="A1:Y21"/>
  <sheetViews>
    <sheetView workbookViewId="0">
      <selection activeCell="A4" sqref="A4:H9"/>
    </sheetView>
  </sheetViews>
  <sheetFormatPr defaultRowHeight="14.4" x14ac:dyDescent="0.3"/>
  <cols>
    <col min="8" max="8" width="12.88671875" customWidth="1"/>
    <col min="12" max="12" width="14.5546875" customWidth="1"/>
  </cols>
  <sheetData>
    <row r="1" spans="1:15" x14ac:dyDescent="0.3">
      <c r="A1" s="10" t="s">
        <v>31</v>
      </c>
      <c r="B1" s="10"/>
      <c r="C1" s="10"/>
      <c r="D1" s="10"/>
      <c r="E1" s="10"/>
      <c r="F1" s="10"/>
      <c r="G1" s="10"/>
      <c r="H1" s="10"/>
    </row>
    <row r="2" spans="1:15" x14ac:dyDescent="0.3">
      <c r="A2" s="10"/>
      <c r="B2" s="10"/>
      <c r="C2" s="10"/>
      <c r="D2" s="10"/>
      <c r="E2" s="10"/>
      <c r="F2" s="10"/>
      <c r="G2" s="10"/>
      <c r="H2" s="10"/>
    </row>
    <row r="4" spans="1:15" x14ac:dyDescent="0.3">
      <c r="A4" s="4" t="s">
        <v>19</v>
      </c>
      <c r="B4" s="4" t="s">
        <v>0</v>
      </c>
      <c r="C4" s="4" t="s">
        <v>27</v>
      </c>
      <c r="D4" s="4" t="s">
        <v>28</v>
      </c>
      <c r="E4" s="4" t="s">
        <v>30</v>
      </c>
      <c r="F4" s="4" t="s">
        <v>29</v>
      </c>
      <c r="G4" s="4" t="s">
        <v>20</v>
      </c>
      <c r="H4" s="4" t="s">
        <v>21</v>
      </c>
    </row>
    <row r="5" spans="1:15" x14ac:dyDescent="0.3">
      <c r="A5" s="4">
        <v>1</v>
      </c>
      <c r="B5" s="4" t="s">
        <v>22</v>
      </c>
      <c r="C5" s="4">
        <v>80</v>
      </c>
      <c r="D5" s="4">
        <v>99</v>
      </c>
      <c r="E5" s="4">
        <v>78</v>
      </c>
      <c r="F5" s="4">
        <v>99</v>
      </c>
      <c r="G5" s="4">
        <f>SUM(C5,D5,E5,F5)</f>
        <v>356</v>
      </c>
      <c r="H5" s="4">
        <f>G5/400*100</f>
        <v>89</v>
      </c>
    </row>
    <row r="6" spans="1:15" x14ac:dyDescent="0.3">
      <c r="A6" s="4">
        <v>2</v>
      </c>
      <c r="B6" s="4" t="s">
        <v>23</v>
      </c>
      <c r="C6" s="4">
        <v>75</v>
      </c>
      <c r="D6" s="4">
        <v>95</v>
      </c>
      <c r="E6" s="4">
        <v>99</v>
      </c>
      <c r="F6" s="4">
        <v>95</v>
      </c>
      <c r="G6" s="4">
        <f t="shared" ref="G6:G9" si="0">SUM(C6,D6,E6,F6)</f>
        <v>364</v>
      </c>
      <c r="H6" s="4">
        <f t="shared" ref="H6:H9" si="1">G6/400*100</f>
        <v>91</v>
      </c>
    </row>
    <row r="7" spans="1:15" x14ac:dyDescent="0.3">
      <c r="A7" s="4">
        <v>3</v>
      </c>
      <c r="B7" s="4" t="s">
        <v>24</v>
      </c>
      <c r="C7" s="4">
        <v>89</v>
      </c>
      <c r="D7" s="4">
        <v>90</v>
      </c>
      <c r="E7" s="4">
        <v>99</v>
      </c>
      <c r="F7" s="4">
        <v>99</v>
      </c>
      <c r="G7" s="4">
        <f t="shared" si="0"/>
        <v>377</v>
      </c>
      <c r="H7" s="4">
        <f t="shared" si="1"/>
        <v>94.25</v>
      </c>
      <c r="L7" t="s">
        <v>32</v>
      </c>
    </row>
    <row r="8" spans="1:15" x14ac:dyDescent="0.3">
      <c r="A8" s="4">
        <v>4</v>
      </c>
      <c r="B8" s="4" t="s">
        <v>25</v>
      </c>
      <c r="C8" s="4">
        <v>70</v>
      </c>
      <c r="D8" s="4">
        <v>95</v>
      </c>
      <c r="E8" s="4">
        <v>99</v>
      </c>
      <c r="F8" s="4">
        <v>98</v>
      </c>
      <c r="G8" s="4">
        <f t="shared" si="0"/>
        <v>362</v>
      </c>
      <c r="H8" s="4">
        <f t="shared" si="1"/>
        <v>90.5</v>
      </c>
      <c r="L8" t="s">
        <v>21</v>
      </c>
    </row>
    <row r="9" spans="1:15" x14ac:dyDescent="0.3">
      <c r="A9" s="4">
        <v>5</v>
      </c>
      <c r="B9" s="4" t="s">
        <v>26</v>
      </c>
      <c r="C9" s="4">
        <v>90</v>
      </c>
      <c r="D9" s="4">
        <v>90</v>
      </c>
      <c r="E9" s="4">
        <v>99</v>
      </c>
      <c r="F9" s="4">
        <v>95</v>
      </c>
      <c r="G9" s="4">
        <f t="shared" si="0"/>
        <v>374</v>
      </c>
      <c r="H9" s="4">
        <f t="shared" si="1"/>
        <v>93.5</v>
      </c>
      <c r="L9" t="s">
        <v>33</v>
      </c>
    </row>
    <row r="15" spans="1:15" x14ac:dyDescent="0.3">
      <c r="H15" s="4" t="s">
        <v>19</v>
      </c>
      <c r="I15" s="4" t="s">
        <v>0</v>
      </c>
      <c r="J15" s="4" t="s">
        <v>27</v>
      </c>
      <c r="K15" s="4" t="s">
        <v>28</v>
      </c>
      <c r="L15" s="4" t="s">
        <v>30</v>
      </c>
      <c r="M15" s="4" t="s">
        <v>29</v>
      </c>
      <c r="N15" s="4" t="s">
        <v>20</v>
      </c>
      <c r="O15" s="4" t="s">
        <v>21</v>
      </c>
    </row>
    <row r="16" spans="1:15" x14ac:dyDescent="0.3">
      <c r="H16" s="4">
        <v>1</v>
      </c>
      <c r="I16" s="4" t="s">
        <v>22</v>
      </c>
      <c r="J16" s="4">
        <v>50</v>
      </c>
      <c r="K16" s="4">
        <v>50</v>
      </c>
      <c r="L16" s="4">
        <v>78</v>
      </c>
      <c r="M16" s="4">
        <v>70</v>
      </c>
      <c r="N16" s="4">
        <v>248</v>
      </c>
      <c r="O16" s="4">
        <v>62</v>
      </c>
    </row>
    <row r="17" spans="8:25" x14ac:dyDescent="0.3">
      <c r="H17" s="4">
        <v>2</v>
      </c>
      <c r="I17" s="4" t="s">
        <v>23</v>
      </c>
      <c r="J17" s="4">
        <v>60</v>
      </c>
      <c r="K17" s="4">
        <v>29</v>
      </c>
      <c r="L17" s="4">
        <v>45</v>
      </c>
      <c r="M17" s="4">
        <v>80</v>
      </c>
      <c r="N17" s="4">
        <v>214</v>
      </c>
      <c r="O17" s="4">
        <v>53.5</v>
      </c>
      <c r="R17" s="4" t="s">
        <v>19</v>
      </c>
      <c r="S17" s="4" t="s">
        <v>0</v>
      </c>
      <c r="T17" s="4" t="s">
        <v>27</v>
      </c>
      <c r="U17" s="4" t="s">
        <v>28</v>
      </c>
      <c r="V17" s="4" t="s">
        <v>30</v>
      </c>
      <c r="W17" s="4" t="s">
        <v>29</v>
      </c>
      <c r="X17" s="4" t="s">
        <v>20</v>
      </c>
      <c r="Y17" s="4" t="s">
        <v>21</v>
      </c>
    </row>
    <row r="18" spans="8:25" x14ac:dyDescent="0.3">
      <c r="H18" s="4">
        <v>3</v>
      </c>
      <c r="I18" s="4" t="s">
        <v>24</v>
      </c>
      <c r="J18" s="4">
        <v>40</v>
      </c>
      <c r="K18" s="4">
        <v>50</v>
      </c>
      <c r="L18" s="4">
        <v>68</v>
      </c>
      <c r="M18" s="4">
        <v>52</v>
      </c>
      <c r="N18" s="4">
        <v>210</v>
      </c>
      <c r="O18" s="4">
        <v>52.5</v>
      </c>
      <c r="R18" s="4">
        <v>2</v>
      </c>
      <c r="S18" s="4" t="s">
        <v>23</v>
      </c>
      <c r="T18" s="4">
        <v>75</v>
      </c>
      <c r="U18" s="4">
        <v>95</v>
      </c>
      <c r="V18" s="4">
        <v>99</v>
      </c>
      <c r="W18" s="4">
        <v>95</v>
      </c>
      <c r="X18" s="4">
        <v>364</v>
      </c>
      <c r="Y18" s="4">
        <v>91</v>
      </c>
    </row>
    <row r="19" spans="8:25" x14ac:dyDescent="0.3">
      <c r="H19" s="4">
        <v>4</v>
      </c>
      <c r="I19" s="4" t="s">
        <v>25</v>
      </c>
      <c r="J19" s="4">
        <v>70</v>
      </c>
      <c r="K19" s="4">
        <v>85</v>
      </c>
      <c r="L19" s="4">
        <v>45</v>
      </c>
      <c r="M19" s="4">
        <v>52</v>
      </c>
      <c r="N19" s="4">
        <v>252</v>
      </c>
      <c r="O19" s="4">
        <v>63</v>
      </c>
      <c r="R19" s="4">
        <v>3</v>
      </c>
      <c r="S19" s="4" t="s">
        <v>24</v>
      </c>
      <c r="T19" s="4">
        <v>89</v>
      </c>
      <c r="U19" s="4">
        <v>90</v>
      </c>
      <c r="V19" s="4">
        <v>99</v>
      </c>
      <c r="W19" s="4">
        <v>99</v>
      </c>
      <c r="X19" s="4">
        <v>377</v>
      </c>
      <c r="Y19" s="4">
        <v>94.25</v>
      </c>
    </row>
    <row r="20" spans="8:25" x14ac:dyDescent="0.3">
      <c r="R20" s="4">
        <v>4</v>
      </c>
      <c r="S20" s="4" t="s">
        <v>25</v>
      </c>
      <c r="T20" s="4">
        <v>70</v>
      </c>
      <c r="U20" s="4">
        <v>95</v>
      </c>
      <c r="V20" s="4">
        <v>99</v>
      </c>
      <c r="W20" s="4">
        <v>98</v>
      </c>
      <c r="X20" s="4">
        <v>362</v>
      </c>
      <c r="Y20" s="4">
        <v>90.5</v>
      </c>
    </row>
    <row r="21" spans="8:25" x14ac:dyDescent="0.3">
      <c r="R21" s="4">
        <v>5</v>
      </c>
      <c r="S21" s="4" t="s">
        <v>26</v>
      </c>
      <c r="T21" s="4">
        <v>90</v>
      </c>
      <c r="U21" s="4">
        <v>90</v>
      </c>
      <c r="V21" s="4">
        <v>99</v>
      </c>
      <c r="W21" s="4">
        <v>95</v>
      </c>
      <c r="X21" s="4">
        <v>374</v>
      </c>
      <c r="Y21" s="4">
        <v>93.5</v>
      </c>
    </row>
  </sheetData>
  <mergeCells count="1">
    <mergeCell ref="A1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82362-75D2-4107-890F-7CB5A2F8149E}">
  <dimension ref="A1:E11"/>
  <sheetViews>
    <sheetView workbookViewId="0">
      <selection activeCell="J22" sqref="J22"/>
    </sheetView>
  </sheetViews>
  <sheetFormatPr defaultRowHeight="14.4" x14ac:dyDescent="0.3"/>
  <cols>
    <col min="1" max="1" width="12.5546875" bestFit="1" customWidth="1"/>
    <col min="2" max="2" width="21.109375" bestFit="1" customWidth="1"/>
    <col min="3" max="3" width="19.6640625" bestFit="1" customWidth="1"/>
    <col min="4" max="4" width="18.109375" bestFit="1" customWidth="1"/>
    <col min="5" max="5" width="23.21875" bestFit="1" customWidth="1"/>
  </cols>
  <sheetData>
    <row r="1" spans="1:5" x14ac:dyDescent="0.3">
      <c r="A1" s="6" t="s">
        <v>49</v>
      </c>
      <c r="B1" t="s">
        <v>51</v>
      </c>
      <c r="C1" t="s">
        <v>52</v>
      </c>
      <c r="D1" t="s">
        <v>53</v>
      </c>
      <c r="E1" t="s">
        <v>54</v>
      </c>
    </row>
    <row r="2" spans="1:5" x14ac:dyDescent="0.3">
      <c r="A2" s="7" t="s">
        <v>43</v>
      </c>
      <c r="B2">
        <v>450</v>
      </c>
      <c r="C2">
        <v>325</v>
      </c>
      <c r="D2">
        <v>680</v>
      </c>
      <c r="E2">
        <v>1300</v>
      </c>
    </row>
    <row r="3" spans="1:5" x14ac:dyDescent="0.3">
      <c r="A3" s="7" t="s">
        <v>44</v>
      </c>
      <c r="B3">
        <v>500</v>
      </c>
      <c r="C3">
        <v>370</v>
      </c>
      <c r="D3">
        <v>760</v>
      </c>
      <c r="E3">
        <v>1400</v>
      </c>
    </row>
    <row r="4" spans="1:5" x14ac:dyDescent="0.3">
      <c r="A4" s="7" t="s">
        <v>38</v>
      </c>
      <c r="B4">
        <v>250</v>
      </c>
      <c r="C4">
        <v>145</v>
      </c>
      <c r="D4">
        <v>360</v>
      </c>
      <c r="E4">
        <v>900</v>
      </c>
    </row>
    <row r="5" spans="1:5" x14ac:dyDescent="0.3">
      <c r="A5" s="7" t="s">
        <v>40</v>
      </c>
      <c r="B5">
        <v>350</v>
      </c>
      <c r="C5">
        <v>235</v>
      </c>
      <c r="D5">
        <v>520</v>
      </c>
      <c r="E5">
        <v>1100</v>
      </c>
    </row>
    <row r="6" spans="1:5" x14ac:dyDescent="0.3">
      <c r="A6" s="7" t="s">
        <v>41</v>
      </c>
      <c r="B6">
        <v>400</v>
      </c>
      <c r="C6">
        <v>280</v>
      </c>
      <c r="D6">
        <v>600</v>
      </c>
      <c r="E6">
        <v>1200</v>
      </c>
    </row>
    <row r="7" spans="1:5" x14ac:dyDescent="0.3">
      <c r="A7" s="7" t="s">
        <v>37</v>
      </c>
      <c r="B7">
        <v>200</v>
      </c>
      <c r="C7">
        <v>100</v>
      </c>
      <c r="D7">
        <v>280</v>
      </c>
      <c r="E7">
        <v>800</v>
      </c>
    </row>
    <row r="8" spans="1:5" x14ac:dyDescent="0.3">
      <c r="A8" s="7" t="s">
        <v>36</v>
      </c>
      <c r="B8">
        <v>150</v>
      </c>
      <c r="C8">
        <v>50</v>
      </c>
      <c r="D8">
        <v>200</v>
      </c>
      <c r="E8">
        <v>700</v>
      </c>
    </row>
    <row r="9" spans="1:5" x14ac:dyDescent="0.3">
      <c r="A9" s="7" t="s">
        <v>45</v>
      </c>
      <c r="B9">
        <v>550</v>
      </c>
      <c r="C9">
        <v>415</v>
      </c>
      <c r="D9">
        <v>840</v>
      </c>
      <c r="E9">
        <v>1500</v>
      </c>
    </row>
    <row r="10" spans="1:5" x14ac:dyDescent="0.3">
      <c r="A10" s="7" t="s">
        <v>39</v>
      </c>
      <c r="B10">
        <v>300</v>
      </c>
      <c r="C10">
        <v>190</v>
      </c>
      <c r="D10">
        <v>440</v>
      </c>
      <c r="E10">
        <v>1000</v>
      </c>
    </row>
    <row r="11" spans="1:5" x14ac:dyDescent="0.3">
      <c r="A11" s="7" t="s">
        <v>50</v>
      </c>
      <c r="B11">
        <v>3150</v>
      </c>
      <c r="C11">
        <v>2110</v>
      </c>
      <c r="D11">
        <v>4680</v>
      </c>
      <c r="E11">
        <v>9900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E261-12E2-44EE-B0D5-1AEC792D79A6}">
  <dimension ref="A1:F12"/>
  <sheetViews>
    <sheetView workbookViewId="0">
      <selection activeCell="A3" sqref="A3:E12"/>
    </sheetView>
  </sheetViews>
  <sheetFormatPr defaultRowHeight="14.4" x14ac:dyDescent="0.3"/>
  <cols>
    <col min="1" max="1" width="16.6640625" customWidth="1"/>
    <col min="2" max="2" width="16.33203125" customWidth="1"/>
    <col min="3" max="3" width="12.5546875" customWidth="1"/>
    <col min="4" max="4" width="15.88671875" customWidth="1"/>
    <col min="5" max="5" width="15.33203125" customWidth="1"/>
  </cols>
  <sheetData>
    <row r="1" spans="1:6" x14ac:dyDescent="0.3">
      <c r="A1" s="11" t="s">
        <v>42</v>
      </c>
      <c r="B1" s="11"/>
    </row>
    <row r="2" spans="1:6" x14ac:dyDescent="0.3">
      <c r="A2" s="11"/>
      <c r="B2" s="11"/>
    </row>
    <row r="3" spans="1:6" ht="15.6" x14ac:dyDescent="0.3">
      <c r="A3" s="5" t="s">
        <v>34</v>
      </c>
      <c r="B3" s="3" t="s">
        <v>46</v>
      </c>
      <c r="C3" s="3" t="s">
        <v>47</v>
      </c>
      <c r="D3" s="3" t="s">
        <v>35</v>
      </c>
      <c r="E3" s="3" t="s">
        <v>48</v>
      </c>
      <c r="F3" s="3"/>
    </row>
    <row r="4" spans="1:6" ht="15.6" x14ac:dyDescent="0.3">
      <c r="A4" s="5" t="s">
        <v>36</v>
      </c>
      <c r="B4" s="3">
        <v>150</v>
      </c>
      <c r="C4" s="3">
        <v>50</v>
      </c>
      <c r="D4" s="3">
        <v>200</v>
      </c>
      <c r="E4" s="3">
        <v>700</v>
      </c>
      <c r="F4" s="3"/>
    </row>
    <row r="5" spans="1:6" ht="15.6" x14ac:dyDescent="0.3">
      <c r="A5" s="5" t="s">
        <v>37</v>
      </c>
      <c r="B5" s="3">
        <v>200</v>
      </c>
      <c r="C5" s="3">
        <v>100</v>
      </c>
      <c r="D5" s="3">
        <v>280</v>
      </c>
      <c r="E5" s="3">
        <v>800</v>
      </c>
      <c r="F5" s="3"/>
    </row>
    <row r="6" spans="1:6" ht="15.6" x14ac:dyDescent="0.3">
      <c r="A6" s="5" t="s">
        <v>38</v>
      </c>
      <c r="B6" s="3">
        <v>250</v>
      </c>
      <c r="C6" s="3">
        <v>145</v>
      </c>
      <c r="D6" s="3">
        <v>360</v>
      </c>
      <c r="E6" s="3">
        <v>900</v>
      </c>
      <c r="F6" s="3"/>
    </row>
    <row r="7" spans="1:6" ht="15.6" x14ac:dyDescent="0.3">
      <c r="A7" s="5" t="s">
        <v>39</v>
      </c>
      <c r="B7" s="3">
        <v>300</v>
      </c>
      <c r="C7" s="3">
        <v>190</v>
      </c>
      <c r="D7" s="3">
        <v>440</v>
      </c>
      <c r="E7" s="3">
        <v>1000</v>
      </c>
      <c r="F7" s="3"/>
    </row>
    <row r="8" spans="1:6" ht="15.6" x14ac:dyDescent="0.3">
      <c r="A8" s="5" t="s">
        <v>40</v>
      </c>
      <c r="B8" s="3">
        <v>350</v>
      </c>
      <c r="C8" s="3">
        <v>235</v>
      </c>
      <c r="D8" s="3">
        <v>520</v>
      </c>
      <c r="E8" s="3">
        <v>1100</v>
      </c>
      <c r="F8" s="3"/>
    </row>
    <row r="9" spans="1:6" ht="15.6" x14ac:dyDescent="0.3">
      <c r="A9" s="5" t="s">
        <v>41</v>
      </c>
      <c r="B9" s="3">
        <v>400</v>
      </c>
      <c r="C9" s="3">
        <v>280</v>
      </c>
      <c r="D9" s="3">
        <v>600</v>
      </c>
      <c r="E9" s="3">
        <v>1200</v>
      </c>
      <c r="F9" s="3"/>
    </row>
    <row r="10" spans="1:6" ht="15.6" x14ac:dyDescent="0.3">
      <c r="A10" s="5" t="s">
        <v>43</v>
      </c>
      <c r="B10" s="3">
        <v>450</v>
      </c>
      <c r="C10" s="3">
        <v>325</v>
      </c>
      <c r="D10" s="3">
        <v>680</v>
      </c>
      <c r="E10" s="3">
        <v>1300</v>
      </c>
      <c r="F10" s="3"/>
    </row>
    <row r="11" spans="1:6" ht="15.6" x14ac:dyDescent="0.3">
      <c r="A11" s="5" t="s">
        <v>44</v>
      </c>
      <c r="B11" s="3">
        <v>500</v>
      </c>
      <c r="C11" s="3">
        <v>370</v>
      </c>
      <c r="D11" s="3">
        <v>760</v>
      </c>
      <c r="E11" s="3">
        <v>1400</v>
      </c>
      <c r="F11" s="3"/>
    </row>
    <row r="12" spans="1:6" ht="15.6" x14ac:dyDescent="0.3">
      <c r="A12" s="5" t="s">
        <v>45</v>
      </c>
      <c r="B12" s="3">
        <v>550</v>
      </c>
      <c r="C12" s="3">
        <v>415</v>
      </c>
      <c r="D12" s="3">
        <v>840</v>
      </c>
      <c r="E12" s="3">
        <v>1500</v>
      </c>
      <c r="F12" s="3"/>
    </row>
  </sheetData>
  <mergeCells count="1">
    <mergeCell ref="A1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DC81F-5012-4E88-991F-5E52FB9B63A6}">
  <dimension ref="A1:A12"/>
  <sheetViews>
    <sheetView workbookViewId="0">
      <selection activeCell="F15" sqref="F15:F27"/>
    </sheetView>
  </sheetViews>
  <sheetFormatPr defaultRowHeight="14.4" x14ac:dyDescent="0.3"/>
  <cols>
    <col min="1" max="1" width="13.88671875" customWidth="1"/>
  </cols>
  <sheetData>
    <row r="1" spans="1:1" x14ac:dyDescent="0.3">
      <c r="A1" t="s">
        <v>55</v>
      </c>
    </row>
    <row r="2" spans="1:1" x14ac:dyDescent="0.3">
      <c r="A2" t="s">
        <v>59</v>
      </c>
    </row>
    <row r="3" spans="1:1" x14ac:dyDescent="0.3">
      <c r="A3" t="s">
        <v>60</v>
      </c>
    </row>
    <row r="4" spans="1:1" x14ac:dyDescent="0.3">
      <c r="A4" t="s">
        <v>58</v>
      </c>
    </row>
    <row r="5" spans="1:1" x14ac:dyDescent="0.3">
      <c r="A5" t="s">
        <v>61</v>
      </c>
    </row>
    <row r="6" spans="1:1" x14ac:dyDescent="0.3">
      <c r="A6" t="s">
        <v>62</v>
      </c>
    </row>
    <row r="7" spans="1:1" x14ac:dyDescent="0.3">
      <c r="A7" t="s">
        <v>63</v>
      </c>
    </row>
    <row r="8" spans="1:1" x14ac:dyDescent="0.3">
      <c r="A8" t="s">
        <v>64</v>
      </c>
    </row>
    <row r="9" spans="1:1" x14ac:dyDescent="0.3">
      <c r="A9" t="s">
        <v>65</v>
      </c>
    </row>
    <row r="10" spans="1:1" x14ac:dyDescent="0.3">
      <c r="A10" t="s">
        <v>66</v>
      </c>
    </row>
    <row r="11" spans="1:1" x14ac:dyDescent="0.3">
      <c r="A11" t="s">
        <v>56</v>
      </c>
    </row>
    <row r="12" spans="1:1" x14ac:dyDescent="0.3">
      <c r="A12" t="s">
        <v>57</v>
      </c>
    </row>
  </sheetData>
  <sortState xmlns:xlrd2="http://schemas.microsoft.com/office/spreadsheetml/2017/richdata2" ref="A1:A12">
    <sortCondition ref="A1:A12" customList="JANUARY,FEBURARY,MARCH,APRIL,MAY,JUNE,JULY,AUGUST,SEPTEMBER,OCTOBER,NOVEMBER,DECEMBER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MACROS</vt:lpstr>
      <vt:lpstr> MACROS 2</vt:lpstr>
      <vt:lpstr>MACROS 3</vt:lpstr>
      <vt:lpstr>ADVANCE FILTER</vt:lpstr>
      <vt:lpstr>PIVOT CHART 2</vt:lpstr>
      <vt:lpstr>PIVOT CHART</vt:lpstr>
      <vt:lpstr>CUSTOM SORT</vt:lpstr>
      <vt:lpstr>'ADVANCE FILTER'!Criteria</vt:lpstr>
      <vt:lpstr>'ADVANCE FILTER'!Extract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Anushree Vasisth</dc:creator>
  <cp:lastModifiedBy>Anushree Vasisth</cp:lastModifiedBy>
  <dcterms:created xsi:type="dcterms:W3CDTF">2025-08-05T07:45:25Z</dcterms:created>
  <dcterms:modified xsi:type="dcterms:W3CDTF">2025-08-26T16:58:09Z</dcterms:modified>
</cp:coreProperties>
</file>